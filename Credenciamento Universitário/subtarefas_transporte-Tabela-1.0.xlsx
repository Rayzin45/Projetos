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631a76236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tarefas" sheetId="1" r:id="R17ba7a6b14ac4be3"/>
    <x:sheet xmlns:r="http://schemas.openxmlformats.org/officeDocument/2006/relationships" name="Resumo por história" sheetId="2" r:id="Rffdceee9a24f4d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7"/>
      <x:color rgb="FFFFFFFF"/>
      <x:name val="Carlito"/>
    </x:font>
    <x:font>
      <x:sz val="11"/>
      <x:color rgb="FF254B6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43A"/>
      </x:patternFill>
    </x:fill>
    <x:fill>
      <x:patternFill patternType="solid">
        <x:fgColor rgb="FFE9F2FA"/>
      </x:patternFill>
    </x:fill>
    <x:fill>
      <x:patternFill patternType="solid">
        <x:fgColor rgb="FF176B8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FF9F2525"/>
      </x:font>
      <x:fill>
        <x:patternFill patternType="solid">
          <x:bgColor rgb="FFFCE8E6"/>
        </x:patternFill>
      </x:fill>
    </x:dxf>
    <x:dxf>
      <x:font>
        <x:color rgb="FF865A09"/>
      </x:font>
      <x:fill>
        <x:patternFill patternType="solid">
          <x:bgColor rgb="FFFFF2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f4d15337f7486f" /><Relationship Type="http://schemas.openxmlformats.org/officeDocument/2006/relationships/theme" Target="/xl/theme/theme1.xml" Id="R96c6b905c79f4c47" /><Relationship Type="http://schemas.openxmlformats.org/officeDocument/2006/relationships/sharedStrings" Target="/xl/sharedStrings.xml" Id="Rb7d32422b3d44eca" /><Relationship Type="http://schemas.openxmlformats.org/officeDocument/2006/relationships/worksheet" Target="/xl/worksheets/sheet1.xml" Id="R17ba7a6b14ac4be3" /><Relationship Type="http://schemas.openxmlformats.org/officeDocument/2006/relationships/worksheet" Target="/xl/worksheets/sheet2.xml" Id="Rffdceee9a24f4dda" /></Relationships>
</file>

<file path=xl/tables/table1.xml><?xml version="1.0" encoding="utf-8"?>
<x:table xmlns:x="http://schemas.openxmlformats.org/spreadsheetml/2006/main" id="1" name="TabelaSubtarefas" displayName="TabelaSubtarefas" ref="A4:J67" headerRowCount="1" totalsRowCount="0" totalsRowShown="0">
  <x:tableColumns count="10">
    <x:tableColumn id="1" name="Tipo de item"/>
    <x:tableColumn id="2" name="Resumo"/>
    <x:tableColumn id="3" name="Descrição"/>
    <x:tableColumn id="4" name="Código da subtarefa"/>
    <x:tableColumn id="5" name="História-pai (referência)"/>
    <x:tableColumn id="6" name="Chave da história-pai no Jira"/>
    <x:tableColumn id="7" name="Prioridade de planejamento"/>
    <x:tableColumn id="8" name="Categoria técnica"/>
    <x:tableColumn id="9" name="Responsável"/>
    <x:tableColumn id="10" name="Status planej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oHistorias" displayName="ResumoHistorias" ref="A1:C12" headerRowCount="1" totalsRowCount="0" totalsRowShown="0">
  <x:tableColumns count="3">
    <x:tableColumn id="1" name="História de usuário"/>
    <x:tableColumn id="2" name="Quantidade de subtarefas"/>
    <x:tableColumn id="3" name="Progresso concluí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a2e51f882845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bd2fc6f1c64556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48" hidden="0" customWidth="1"/>
    <x:col min="3" max="3" width="76" hidden="0" customWidth="1"/>
    <x:col min="4" max="4" width="21" hidden="0" customWidth="1"/>
    <x:col min="5" max="5" width="22" hidden="0" customWidth="1"/>
    <x:col min="6" max="6" width="27" hidden="0" customWidth="1"/>
    <x:col min="7" max="7" width="25" hidden="0" customWidth="1"/>
    <x:col min="8" max="8" width="20" hidden="0" customWidth="1"/>
    <x:col min="9" max="9" width="22" hidden="0" customWidth="1"/>
    <x:col min="10" max="10" width="22" hidden="0" customWidth="1"/>
  </x:cols>
  <x:sheetData>
    <x:row r="1" ht="40" customHeight="1">
      <x:c r="A1" s="4" t="str">
        <x:v>BACKLOG TÉCNICO • TRANSPORTE UNIVERSITÁRIO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</x:row>
    <x:row r="2" ht="28" customHeight="1">
      <x:c r="A2" s="9" t="str">
        <x:v>63 subtarefas  |  11 histórias de usuário  |  Planejamento do MVP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</x:row>
    <x:row r="4" ht="34" customHeight="1">
      <x:c r="A4" s="15" t="str">
        <x:v>Tipo de item</x:v>
      </x:c>
      <x:c r="B4" s="15" t="str">
        <x:v>Resumo</x:v>
      </x:c>
      <x:c r="C4" s="15" t="str">
        <x:v>Descrição</x:v>
      </x:c>
      <x:c r="D4" s="15" t="str">
        <x:v>Código da subtarefa</x:v>
      </x:c>
      <x:c r="E4" s="15" t="str">
        <x:v>História-pai (referência)</x:v>
      </x:c>
      <x:c r="F4" s="15" t="str">
        <x:v>Chave da história-pai no Jira</x:v>
      </x:c>
      <x:c r="G4" s="15" t="str">
        <x:v>Prioridade de planejamento</x:v>
      </x:c>
      <x:c r="H4" s="15" t="str">
        <x:v>Categoria técnica</x:v>
      </x:c>
      <x:c r="I4" s="15" t="str">
        <x:v>Responsável</x:v>
      </x:c>
      <x:c r="J4" s="15" t="str">
        <x:v>Status planejado</x:v>
      </x:c>
    </x:row>
    <x:row r="5" ht="40" customHeight="1">
      <x:c r="A5" s="20" t="str">
        <x:v>Subtarefa</x:v>
      </x:c>
      <x:c r="B5" s="20" t="str">
        <x:v>ST01.1 — Modelar credenciais e perfis</x:v>
      </x:c>
      <x:c r="C5" s="20" t="str">
        <x:v>definir os campos de usuário e armazenamento de hash de senha no PostgreSQL.</x:v>
      </x:c>
      <x:c r="D5" s="20" t="str">
        <x:v>ST01.1</x:v>
      </x:c>
      <x:c r="E5" s="20" t="str">
        <x:v>HU01</x:v>
      </x:c>
      <x:c r="F5" s="20" t="str"/>
      <x:c r="G5" s="20" t="str">
        <x:v>Alta</x:v>
      </x:c>
      <x:c r="H5" s="20" t="str">
        <x:v>Banco de Dados</x:v>
      </x:c>
      <x:c r="I5" s="20" t="str"/>
      <x:c r="J5" s="20" t="str">
        <x:v>A fazer</x:v>
      </x:c>
    </x:row>
    <x:row r="6" ht="40" customHeight="1">
      <x:c r="A6" s="20" t="str">
        <x:v>Subtarefa</x:v>
      </x:c>
      <x:c r="B6" s="20" t="str">
        <x:v>ST01.2 — Implementar autenticação no backend</x:v>
      </x:c>
      <x:c r="C6" s="20" t="str">
        <x:v>criar endpoint de login em Node.js e verificar credenciais com hash seguro.</x:v>
      </x:c>
      <x:c r="D6" s="20" t="str">
        <x:v>ST01.2</x:v>
      </x:c>
      <x:c r="E6" s="20" t="str">
        <x:v>HU01</x:v>
      </x:c>
      <x:c r="F6" s="20" t="str"/>
      <x:c r="G6" s="20" t="str">
        <x:v>Alta</x:v>
      </x:c>
      <x:c r="H6" s="20" t="str">
        <x:v>Backend</x:v>
      </x:c>
      <x:c r="I6" s="20" t="str"/>
      <x:c r="J6" s="20" t="str">
        <x:v>A fazer</x:v>
      </x:c>
    </x:row>
    <x:row r="7" ht="40" customHeight="1">
      <x:c r="A7" s="20" t="str">
        <x:v>Subtarefa</x:v>
      </x:c>
      <x:c r="B7" s="20" t="str">
        <x:v>ST01.3 — Implementar sessão e logout</x:v>
      </x:c>
      <x:c r="C7" s="20" t="str">
        <x:v>estabelecer mecanismo de sessão e encerramento de acesso.</x:v>
      </x:c>
      <x:c r="D7" s="20" t="str">
        <x:v>ST01.3</x:v>
      </x:c>
      <x:c r="E7" s="20" t="str">
        <x:v>HU01</x:v>
      </x:c>
      <x:c r="F7" s="20" t="str"/>
      <x:c r="G7" s="20" t="str">
        <x:v>Alta</x:v>
      </x:c>
      <x:c r="H7" s="20" t="str">
        <x:v>Backend</x:v>
      </x:c>
      <x:c r="I7" s="20" t="str"/>
      <x:c r="J7" s="20" t="str">
        <x:v>A fazer</x:v>
      </x:c>
    </x:row>
    <x:row r="8" ht="40" customHeight="1">
      <x:c r="A8" s="20" t="str">
        <x:v>Subtarefa</x:v>
      </x:c>
      <x:c r="B8" s="20" t="str">
        <x:v>ST01.4 — Criar tela de login</x:v>
      </x:c>
      <x:c r="C8" s="20" t="str">
        <x:v>desenvolver formulário responsivo com HTML, CSS e JavaScript.</x:v>
      </x:c>
      <x:c r="D8" s="20" t="str">
        <x:v>ST01.4</x:v>
      </x:c>
      <x:c r="E8" s="20" t="str">
        <x:v>HU01</x:v>
      </x:c>
      <x:c r="F8" s="20" t="str"/>
      <x:c r="G8" s="20" t="str">
        <x:v>Alta</x:v>
      </x:c>
      <x:c r="H8" s="20" t="str">
        <x:v>Frontend</x:v>
      </x:c>
      <x:c r="I8" s="20" t="str"/>
      <x:c r="J8" s="20" t="str">
        <x:v>A fazer</x:v>
      </x:c>
    </x:row>
    <x:row r="9" ht="40" customHeight="1">
      <x:c r="A9" s="20" t="str">
        <x:v>Subtarefa</x:v>
      </x:c>
      <x:c r="B9" s="20" t="str">
        <x:v>ST01.5 — Integrar login à API</x:v>
      </x:c>
      <x:c r="C9" s="20" t="str">
        <x:v>enviar credenciais, tratar respostas e encaminhar o usuário à área adequada.</x:v>
      </x:c>
      <x:c r="D9" s="20" t="str">
        <x:v>ST01.5</x:v>
      </x:c>
      <x:c r="E9" s="20" t="str">
        <x:v>HU01</x:v>
      </x:c>
      <x:c r="F9" s="20" t="str"/>
      <x:c r="G9" s="20" t="str">
        <x:v>Alta</x:v>
      </x:c>
      <x:c r="H9" s="20" t="str">
        <x:v>Integração</x:v>
      </x:c>
      <x:c r="I9" s="20" t="str"/>
      <x:c r="J9" s="20" t="str">
        <x:v>A fazer</x:v>
      </x:c>
    </x:row>
    <x:row r="10" ht="40" customHeight="1">
      <x:c r="A10" s="20" t="str">
        <x:v>Subtarefa</x:v>
      </x:c>
      <x:c r="B10" s="20" t="str">
        <x:v>ST01.6 — Testar autenticação</x:v>
      </x:c>
      <x:c r="C10" s="20" t="str">
        <x:v>cobrir credenciais válidas/inválidas, campos vazios, logout e persistência de sessão.</x:v>
      </x:c>
      <x:c r="D10" s="20" t="str">
        <x:v>ST01.6</x:v>
      </x:c>
      <x:c r="E10" s="20" t="str">
        <x:v>HU01</x:v>
      </x:c>
      <x:c r="F10" s="20" t="str"/>
      <x:c r="G10" s="20" t="str">
        <x:v>Alta</x:v>
      </x:c>
      <x:c r="H10" s="20" t="str">
        <x:v>Testes</x:v>
      </x:c>
      <x:c r="I10" s="20" t="str"/>
      <x:c r="J10" s="20" t="str">
        <x:v>A fazer</x:v>
      </x:c>
    </x:row>
    <x:row r="11" ht="40" customHeight="1">
      <x:c r="A11" s="20" t="str">
        <x:v>Subtarefa</x:v>
      </x:c>
      <x:c r="B11" s="20" t="str">
        <x:v>ST02.1 — Definir matriz de permissões</x:v>
      </x:c>
      <x:c r="C11" s="20" t="str">
        <x:v>documentar ações permitidas para Administrador, Universitário e Motorista.</x:v>
      </x:c>
      <x:c r="D11" s="20" t="str">
        <x:v>ST02.1</x:v>
      </x:c>
      <x:c r="E11" s="20" t="str">
        <x:v>HU02</x:v>
      </x:c>
      <x:c r="F11" s="20" t="str"/>
      <x:c r="G11" s="20" t="str">
        <x:v>Alta</x:v>
      </x:c>
      <x:c r="H11" s="20" t="str">
        <x:v>Análise</x:v>
      </x:c>
      <x:c r="I11" s="20" t="str"/>
      <x:c r="J11" s="20" t="str">
        <x:v>A fazer</x:v>
      </x:c>
    </x:row>
    <x:row r="12" ht="40" customHeight="1">
      <x:c r="A12" s="20" t="str">
        <x:v>Subtarefa</x:v>
      </x:c>
      <x:c r="B12" s="20" t="str">
        <x:v>ST02.2 — Implementar middleware de autorização</x:v>
      </x:c>
      <x:c r="C12" s="20" t="str">
        <x:v>validar autenticação e perfil nas rotas protegidas da API.</x:v>
      </x:c>
      <x:c r="D12" s="20" t="str">
        <x:v>ST02.2</x:v>
      </x:c>
      <x:c r="E12" s="20" t="str">
        <x:v>HU02</x:v>
      </x:c>
      <x:c r="F12" s="20" t="str"/>
      <x:c r="G12" s="20" t="str">
        <x:v>Alta</x:v>
      </x:c>
      <x:c r="H12" s="20" t="str">
        <x:v>Backend</x:v>
      </x:c>
      <x:c r="I12" s="20" t="str"/>
      <x:c r="J12" s="20" t="str">
        <x:v>A fazer</x:v>
      </x:c>
    </x:row>
    <x:row r="13" ht="40" customHeight="1">
      <x:c r="A13" s="20" t="str">
        <x:v>Subtarefa</x:v>
      </x:c>
      <x:c r="B13" s="20" t="str">
        <x:v>ST02.3 — Adaptar navegação por perfil</x:v>
      </x:c>
      <x:c r="C13" s="20" t="str">
        <x:v>exibir opções adequadas a cada usuário no frontend.</x:v>
      </x:c>
      <x:c r="D13" s="20" t="str">
        <x:v>ST02.3</x:v>
      </x:c>
      <x:c r="E13" s="20" t="str">
        <x:v>HU02</x:v>
      </x:c>
      <x:c r="F13" s="20" t="str"/>
      <x:c r="G13" s="20" t="str">
        <x:v>Alta</x:v>
      </x:c>
      <x:c r="H13" s="20" t="str">
        <x:v>Frontend</x:v>
      </x:c>
      <x:c r="I13" s="20" t="str"/>
      <x:c r="J13" s="20" t="str">
        <x:v>A fazer</x:v>
      </x:c>
    </x:row>
    <x:row r="14" ht="40" customHeight="1">
      <x:c r="A14" s="20" t="str">
        <x:v>Subtarefa</x:v>
      </x:c>
      <x:c r="B14" s="20" t="str">
        <x:v>ST02.4 — Proteger páginas e operações</x:v>
      </x:c>
      <x:c r="C14" s="20" t="str">
        <x:v>impedir acesso indevido, inclusive por URL ou requisição direta.</x:v>
      </x:c>
      <x:c r="D14" s="20" t="str">
        <x:v>ST02.4</x:v>
      </x:c>
      <x:c r="E14" s="20" t="str">
        <x:v>HU02</x:v>
      </x:c>
      <x:c r="F14" s="20" t="str"/>
      <x:c r="G14" s="20" t="str">
        <x:v>Alta</x:v>
      </x:c>
      <x:c r="H14" s="20" t="str">
        <x:v>Backend</x:v>
      </x:c>
      <x:c r="I14" s="20" t="str"/>
      <x:c r="J14" s="20" t="str">
        <x:v>A fazer</x:v>
      </x:c>
    </x:row>
    <x:row r="15" ht="40" customHeight="1">
      <x:c r="A15" s="20" t="str">
        <x:v>Subtarefa</x:v>
      </x:c>
      <x:c r="B15" s="20" t="str">
        <x:v>ST02.5 — Testar permissões</x:v>
      </x:c>
      <x:c r="C15" s="20" t="str">
        <x:v>verificar cenários autorizados e não autorizados para os três perfis.</x:v>
      </x:c>
      <x:c r="D15" s="20" t="str">
        <x:v>ST02.5</x:v>
      </x:c>
      <x:c r="E15" s="20" t="str">
        <x:v>HU02</x:v>
      </x:c>
      <x:c r="F15" s="20" t="str"/>
      <x:c r="G15" s="20" t="str">
        <x:v>Alta</x:v>
      </x:c>
      <x:c r="H15" s="20" t="str">
        <x:v>Testes</x:v>
      </x:c>
      <x:c r="I15" s="20" t="str"/>
      <x:c r="J15" s="20" t="str">
        <x:v>A fazer</x:v>
      </x:c>
    </x:row>
    <x:row r="16" ht="40" customHeight="1">
      <x:c r="A16" s="20" t="str">
        <x:v>Subtarefa</x:v>
      </x:c>
      <x:c r="B16" s="20" t="str">
        <x:v>ST03.1 — Modelar dados do universitário</x:v>
      </x:c>
      <x:c r="C16" s="20" t="str">
        <x:v>definir relacionamento com usuário e universidade no PostgreSQL.</x:v>
      </x:c>
      <x:c r="D16" s="20" t="str">
        <x:v>ST03.1</x:v>
      </x:c>
      <x:c r="E16" s="20" t="str">
        <x:v>HU03</x:v>
      </x:c>
      <x:c r="F16" s="20" t="str"/>
      <x:c r="G16" s="20" t="str">
        <x:v>Alta</x:v>
      </x:c>
      <x:c r="H16" s="20" t="str">
        <x:v>Banco de Dados</x:v>
      </x:c>
      <x:c r="I16" s="20" t="str"/>
      <x:c r="J16" s="20" t="str">
        <x:v>A fazer</x:v>
      </x:c>
    </x:row>
    <x:row r="17" ht="40" customHeight="1">
      <x:c r="A17" s="20" t="str">
        <x:v>Subtarefa</x:v>
      </x:c>
      <x:c r="B17" s="20" t="str">
        <x:v>ST03.2 — Criar API de cadastro e consulta</x:v>
      </x:c>
      <x:c r="C17" s="20" t="str">
        <x:v>implementar operações administrativas para cadastrar e listar universitários.</x:v>
      </x:c>
      <x:c r="D17" s="20" t="str">
        <x:v>ST03.2</x:v>
      </x:c>
      <x:c r="E17" s="20" t="str">
        <x:v>HU03</x:v>
      </x:c>
      <x:c r="F17" s="20" t="str"/>
      <x:c r="G17" s="20" t="str">
        <x:v>Alta</x:v>
      </x:c>
      <x:c r="H17" s="20" t="str">
        <x:v>Backend</x:v>
      </x:c>
      <x:c r="I17" s="20" t="str"/>
      <x:c r="J17" s="20" t="str">
        <x:v>A fazer</x:v>
      </x:c>
    </x:row>
    <x:row r="18" ht="40" customHeight="1">
      <x:c r="A18" s="20" t="str">
        <x:v>Subtarefa</x:v>
      </x:c>
      <x:c r="B18" s="20" t="str">
        <x:v>ST03.3 — Validar dados</x:v>
      </x:c>
      <x:c r="C18" s="20" t="str">
        <x:v>verificar obrigatoriedade, formato de e-mail e unicidade do e-mail.</x:v>
      </x:c>
      <x:c r="D18" s="20" t="str">
        <x:v>ST03.3</x:v>
      </x:c>
      <x:c r="E18" s="20" t="str">
        <x:v>HU03</x:v>
      </x:c>
      <x:c r="F18" s="20" t="str"/>
      <x:c r="G18" s="20" t="str">
        <x:v>Alta</x:v>
      </x:c>
      <x:c r="H18" s="20" t="str">
        <x:v>Backend</x:v>
      </x:c>
      <x:c r="I18" s="20" t="str"/>
      <x:c r="J18" s="20" t="str">
        <x:v>A fazer</x:v>
      </x:c>
    </x:row>
    <x:row r="19" ht="40" customHeight="1">
      <x:c r="A19" s="20" t="str">
        <x:v>Subtarefa</x:v>
      </x:c>
      <x:c r="B19" s="20" t="str">
        <x:v>ST03.4 — Criar formulário e listagem</x:v>
      </x:c>
      <x:c r="C19" s="20" t="str">
        <x:v>construir telas administrativas responsivas.</x:v>
      </x:c>
      <x:c r="D19" s="20" t="str">
        <x:v>ST03.4</x:v>
      </x:c>
      <x:c r="E19" s="20" t="str">
        <x:v>HU03</x:v>
      </x:c>
      <x:c r="F19" s="20" t="str"/>
      <x:c r="G19" s="20" t="str">
        <x:v>Alta</x:v>
      </x:c>
      <x:c r="H19" s="20" t="str">
        <x:v>Frontend</x:v>
      </x:c>
      <x:c r="I19" s="20" t="str"/>
      <x:c r="J19" s="20" t="str">
        <x:v>A fazer</x:v>
      </x:c>
    </x:row>
    <x:row r="20" ht="40" customHeight="1">
      <x:c r="A20" s="20" t="str">
        <x:v>Subtarefa</x:v>
      </x:c>
      <x:c r="B20" s="20" t="str">
        <x:v>ST03.5 — Integrar frontend e API</x:v>
      </x:c>
      <x:c r="C20" s="20" t="str">
        <x:v>enviar cadastro e apresentar registros persistidos.</x:v>
      </x:c>
      <x:c r="D20" s="20" t="str">
        <x:v>ST03.5</x:v>
      </x:c>
      <x:c r="E20" s="20" t="str">
        <x:v>HU03</x:v>
      </x:c>
      <x:c r="F20" s="20" t="str"/>
      <x:c r="G20" s="20" t="str">
        <x:v>Alta</x:v>
      </x:c>
      <x:c r="H20" s="20" t="str">
        <x:v>Integração</x:v>
      </x:c>
      <x:c r="I20" s="20" t="str"/>
      <x:c r="J20" s="20" t="str">
        <x:v>A fazer</x:v>
      </x:c>
    </x:row>
    <x:row r="21" ht="40" customHeight="1">
      <x:c r="A21" s="20" t="str">
        <x:v>Subtarefa</x:v>
      </x:c>
      <x:c r="B21" s="20" t="str">
        <x:v>ST03.6 — Testar cadastro</x:v>
      </x:c>
      <x:c r="C21" s="20" t="str">
        <x:v>verificar dados válidos, inválidos, duplicados e bloqueio a perfis não autorizados.</x:v>
      </x:c>
      <x:c r="D21" s="20" t="str">
        <x:v>ST03.6</x:v>
      </x:c>
      <x:c r="E21" s="20" t="str">
        <x:v>HU03</x:v>
      </x:c>
      <x:c r="F21" s="20" t="str"/>
      <x:c r="G21" s="20" t="str">
        <x:v>Alta</x:v>
      </x:c>
      <x:c r="H21" s="20" t="str">
        <x:v>Testes</x:v>
      </x:c>
      <x:c r="I21" s="20" t="str"/>
      <x:c r="J21" s="20" t="str">
        <x:v>A fazer</x:v>
      </x:c>
    </x:row>
    <x:row r="22" ht="40" customHeight="1">
      <x:c r="A22" s="20" t="str">
        <x:v>Subtarefa</x:v>
      </x:c>
      <x:c r="B22" s="20" t="str">
        <x:v>ST04.1 — Modelar universidades</x:v>
      </x:c>
      <x:c r="C22" s="20" t="str">
        <x:v>definir identificador, nome e localização/ponto de atendimento.</x:v>
      </x:c>
      <x:c r="D22" s="20" t="str">
        <x:v>ST04.1</x:v>
      </x:c>
      <x:c r="E22" s="20" t="str">
        <x:v>HU04</x:v>
      </x:c>
      <x:c r="F22" s="20" t="str"/>
      <x:c r="G22" s="20" t="str">
        <x:v>Alta</x:v>
      </x:c>
      <x:c r="H22" s="20" t="str">
        <x:v>Banco de Dados</x:v>
      </x:c>
      <x:c r="I22" s="20" t="str"/>
      <x:c r="J22" s="20" t="str">
        <x:v>A fazer</x:v>
      </x:c>
    </x:row>
    <x:row r="23" ht="40" customHeight="1">
      <x:c r="A23" s="20" t="str">
        <x:v>Subtarefa</x:v>
      </x:c>
      <x:c r="B23" s="20" t="str">
        <x:v>ST04.2 — Criar API de cadastro e listagem</x:v>
      </x:c>
      <x:c r="C23" s="20" t="str">
        <x:v>persistir e consultar universidades.</x:v>
      </x:c>
      <x:c r="D23" s="20" t="str">
        <x:v>ST04.2</x:v>
      </x:c>
      <x:c r="E23" s="20" t="str">
        <x:v>HU04</x:v>
      </x:c>
      <x:c r="F23" s="20" t="str"/>
      <x:c r="G23" s="20" t="str">
        <x:v>Alta</x:v>
      </x:c>
      <x:c r="H23" s="20" t="str">
        <x:v>Backend</x:v>
      </x:c>
      <x:c r="I23" s="20" t="str"/>
      <x:c r="J23" s="20" t="str">
        <x:v>A fazer</x:v>
      </x:c>
    </x:row>
    <x:row r="24" ht="40" customHeight="1">
      <x:c r="A24" s="20" t="str">
        <x:v>Subtarefa</x:v>
      </x:c>
      <x:c r="B24" s="20" t="str">
        <x:v>ST04.3 — Validar duplicidade</x:v>
      </x:c>
      <x:c r="C24" s="20" t="str">
        <x:v>estabelecer regra de identificação e impedir cadastros equivalentes conforme essa regra.</x:v>
      </x:c>
      <x:c r="D24" s="20" t="str">
        <x:v>ST04.3</x:v>
      </x:c>
      <x:c r="E24" s="20" t="str">
        <x:v>HU04</x:v>
      </x:c>
      <x:c r="F24" s="20" t="str"/>
      <x:c r="G24" s="20" t="str">
        <x:v>Alta</x:v>
      </x:c>
      <x:c r="H24" s="20" t="str">
        <x:v>Backend</x:v>
      </x:c>
      <x:c r="I24" s="20" t="str"/>
      <x:c r="J24" s="20" t="str">
        <x:v>A fazer</x:v>
      </x:c>
    </x:row>
    <x:row r="25" ht="40" customHeight="1">
      <x:c r="A25" s="20" t="str">
        <x:v>Subtarefa</x:v>
      </x:c>
      <x:c r="B25" s="20" t="str">
        <x:v>ST04.4 — Criar formulário e lista</x:v>
      </x:c>
      <x:c r="C25" s="20" t="str">
        <x:v>desenvolver interface administrativa.</x:v>
      </x:c>
      <x:c r="D25" s="20" t="str">
        <x:v>ST04.4</x:v>
      </x:c>
      <x:c r="E25" s="20" t="str">
        <x:v>HU04</x:v>
      </x:c>
      <x:c r="F25" s="20" t="str"/>
      <x:c r="G25" s="20" t="str">
        <x:v>Alta</x:v>
      </x:c>
      <x:c r="H25" s="20" t="str">
        <x:v>Frontend</x:v>
      </x:c>
      <x:c r="I25" s="20" t="str"/>
      <x:c r="J25" s="20" t="str">
        <x:v>A fazer</x:v>
      </x:c>
    </x:row>
    <x:row r="26" ht="40" customHeight="1">
      <x:c r="A26" s="20" t="str">
        <x:v>Subtarefa</x:v>
      </x:c>
      <x:c r="B26" s="20" t="str">
        <x:v>ST04.5 — Integrar seleção às rotas</x:v>
      </x:c>
      <x:c r="C26" s="20" t="str">
        <x:v>disponibilizar universidades cadastradas para HU06 e HU07.</x:v>
      </x:c>
      <x:c r="D26" s="20" t="str">
        <x:v>ST04.5</x:v>
      </x:c>
      <x:c r="E26" s="20" t="str">
        <x:v>HU04</x:v>
      </x:c>
      <x:c r="F26" s="20" t="str"/>
      <x:c r="G26" s="20" t="str">
        <x:v>Alta</x:v>
      </x:c>
      <x:c r="H26" s="20" t="str">
        <x:v>Integração</x:v>
      </x:c>
      <x:c r="I26" s="20" t="str"/>
      <x:c r="J26" s="20" t="str">
        <x:v>A fazer</x:v>
      </x:c>
    </x:row>
    <x:row r="27" ht="40" customHeight="1">
      <x:c r="A27" s="20" t="str">
        <x:v>Subtarefa</x:v>
      </x:c>
      <x:c r="B27" s="20" t="str">
        <x:v>ST04.6 — Testar cadastro e reutilização</x:v>
      </x:c>
      <x:c r="C27" s="20" t="str">
        <x:v>confirmar que uma universidade não fica vinculada permanentemente a um ônibus.</x:v>
      </x:c>
      <x:c r="D27" s="20" t="str">
        <x:v>ST04.6</x:v>
      </x:c>
      <x:c r="E27" s="20" t="str">
        <x:v>HU04</x:v>
      </x:c>
      <x:c r="F27" s="20" t="str"/>
      <x:c r="G27" s="20" t="str">
        <x:v>Alta</x:v>
      </x:c>
      <x:c r="H27" s="20" t="str">
        <x:v>Testes</x:v>
      </x:c>
      <x:c r="I27" s="20" t="str"/>
      <x:c r="J27" s="20" t="str">
        <x:v>A fazer</x:v>
      </x:c>
    </x:row>
    <x:row r="28" ht="40" customHeight="1">
      <x:c r="A28" s="20" t="str">
        <x:v>Subtarefa</x:v>
      </x:c>
      <x:c r="B28" s="20" t="str">
        <x:v>ST05.1 — Modelar veículos</x:v>
      </x:c>
      <x:c r="C28" s="20" t="str">
        <x:v>definir identificação, placa, capacidade e estado de disponibilidade, se adotado.</x:v>
      </x:c>
      <x:c r="D28" s="20" t="str">
        <x:v>ST05.1</x:v>
      </x:c>
      <x:c r="E28" s="20" t="str">
        <x:v>HU05</x:v>
      </x:c>
      <x:c r="F28" s="20" t="str"/>
      <x:c r="G28" s="20" t="str">
        <x:v>Alta</x:v>
      </x:c>
      <x:c r="H28" s="20" t="str">
        <x:v>Banco de Dados</x:v>
      </x:c>
      <x:c r="I28" s="20" t="str"/>
      <x:c r="J28" s="20" t="str">
        <x:v>A fazer</x:v>
      </x:c>
    </x:row>
    <x:row r="29" ht="40" customHeight="1">
      <x:c r="A29" s="20" t="str">
        <x:v>Subtarefa</x:v>
      </x:c>
      <x:c r="B29" s="20" t="str">
        <x:v>ST05.2 — Criar API de cadastro e listagem</x:v>
      </x:c>
      <x:c r="C29" s="20" t="str">
        <x:v>salvar e consultar veículos no PostgreSQL.</x:v>
      </x:c>
      <x:c r="D29" s="20" t="str">
        <x:v>ST05.2</x:v>
      </x:c>
      <x:c r="E29" s="20" t="str">
        <x:v>HU05</x:v>
      </x:c>
      <x:c r="F29" s="20" t="str"/>
      <x:c r="G29" s="20" t="str">
        <x:v>Alta</x:v>
      </x:c>
      <x:c r="H29" s="20" t="str">
        <x:v>Backend</x:v>
      </x:c>
      <x:c r="I29" s="20" t="str"/>
      <x:c r="J29" s="20" t="str">
        <x:v>A fazer</x:v>
      </x:c>
    </x:row>
    <x:row r="30" ht="40" customHeight="1">
      <x:c r="A30" s="20" t="str">
        <x:v>Subtarefa</x:v>
      </x:c>
      <x:c r="B30" s="20" t="str">
        <x:v>ST05.3 — Validar placa e capacidade</x:v>
      </x:c>
      <x:c r="C30" s="20" t="str">
        <x:v>impedir placas duplicadas e capacidades não positivas ou não inteiras.</x:v>
      </x:c>
      <x:c r="D30" s="20" t="str">
        <x:v>ST05.3</x:v>
      </x:c>
      <x:c r="E30" s="20" t="str">
        <x:v>HU05</x:v>
      </x:c>
      <x:c r="F30" s="20" t="str"/>
      <x:c r="G30" s="20" t="str">
        <x:v>Alta</x:v>
      </x:c>
      <x:c r="H30" s="20" t="str">
        <x:v>Backend</x:v>
      </x:c>
      <x:c r="I30" s="20" t="str"/>
      <x:c r="J30" s="20" t="str">
        <x:v>A fazer</x:v>
      </x:c>
    </x:row>
    <x:row r="31" ht="40" customHeight="1">
      <x:c r="A31" s="20" t="str">
        <x:v>Subtarefa</x:v>
      </x:c>
      <x:c r="B31" s="20" t="str">
        <x:v>ST05.4 — Criar formulário e listagem</x:v>
      </x:c>
      <x:c r="C31" s="20" t="str">
        <x:v>desenvolver interface administrativa.</x:v>
      </x:c>
      <x:c r="D31" s="20" t="str">
        <x:v>ST05.4</x:v>
      </x:c>
      <x:c r="E31" s="20" t="str">
        <x:v>HU05</x:v>
      </x:c>
      <x:c r="F31" s="20" t="str"/>
      <x:c r="G31" s="20" t="str">
        <x:v>Alta</x:v>
      </x:c>
      <x:c r="H31" s="20" t="str">
        <x:v>Frontend</x:v>
      </x:c>
      <x:c r="I31" s="20" t="str"/>
      <x:c r="J31" s="20" t="str">
        <x:v>A fazer</x:v>
      </x:c>
    </x:row>
    <x:row r="32" ht="40" customHeight="1">
      <x:c r="A32" s="20" t="str">
        <x:v>Subtarefa</x:v>
      </x:c>
      <x:c r="B32" s="20" t="str">
        <x:v>ST05.5 — Integrar veículos às rotas</x:v>
      </x:c>
      <x:c r="C32" s="20" t="str">
        <x:v>permitir selecionar veículos cadastrados em HU06 e HU07.</x:v>
      </x:c>
      <x:c r="D32" s="20" t="str">
        <x:v>ST05.5</x:v>
      </x:c>
      <x:c r="E32" s="20" t="str">
        <x:v>HU05</x:v>
      </x:c>
      <x:c r="F32" s="20" t="str"/>
      <x:c r="G32" s="20" t="str">
        <x:v>Alta</x:v>
      </x:c>
      <x:c r="H32" s="20" t="str">
        <x:v>Integração</x:v>
      </x:c>
      <x:c r="I32" s="20" t="str"/>
      <x:c r="J32" s="20" t="str">
        <x:v>A fazer</x:v>
      </x:c>
    </x:row>
    <x:row r="33" ht="40" customHeight="1">
      <x:c r="A33" s="20" t="str">
        <x:v>Subtarefa</x:v>
      </x:c>
      <x:c r="B33" s="20" t="str">
        <x:v>ST05.6 — Testar cadastro</x:v>
      </x:c>
      <x:c r="C33" s="20" t="str">
        <x:v>verificar persistência, validações e permissões.</x:v>
      </x:c>
      <x:c r="D33" s="20" t="str">
        <x:v>ST05.6</x:v>
      </x:c>
      <x:c r="E33" s="20" t="str">
        <x:v>HU05</x:v>
      </x:c>
      <x:c r="F33" s="20" t="str"/>
      <x:c r="G33" s="20" t="str">
        <x:v>Alta</x:v>
      </x:c>
      <x:c r="H33" s="20" t="str">
        <x:v>Testes</x:v>
      </x:c>
      <x:c r="I33" s="20" t="str"/>
      <x:c r="J33" s="20" t="str">
        <x:v>A fazer</x:v>
      </x:c>
    </x:row>
    <x:row r="34" ht="40" customHeight="1">
      <x:c r="A34" s="20" t="str">
        <x:v>Subtarefa</x:v>
      </x:c>
      <x:c r="B34" s="20" t="str">
        <x:v>ST06.1 — Modelar configuração diária</x:v>
      </x:c>
      <x:c r="C34" s="20" t="str">
        <x:v>separar rota de referência, configuração por data e sequência de universidades, conforme decisões do domínio.</x:v>
      </x:c>
      <x:c r="D34" s="20" t="str">
        <x:v>ST06.1</x:v>
      </x:c>
      <x:c r="E34" s="20" t="str">
        <x:v>HU06</x:v>
      </x:c>
      <x:c r="F34" s="20" t="str"/>
      <x:c r="G34" s="20" t="str">
        <x:v>Alta</x:v>
      </x:c>
      <x:c r="H34" s="20" t="str">
        <x:v>Banco de Dados</x:v>
      </x:c>
      <x:c r="I34" s="20" t="str"/>
      <x:c r="J34" s="20" t="str">
        <x:v>A fazer</x:v>
      </x:c>
    </x:row>
    <x:row r="35" ht="40" customHeight="1">
      <x:c r="A35" s="20" t="str">
        <x:v>Subtarefa</x:v>
      </x:c>
      <x:c r="B35" s="20" t="str">
        <x:v>ST06.2 — Definir regras de configuração</x:v>
      </x:c>
      <x:c r="C35" s="20" t="str">
        <x:v>validar data, veículo, universidades selecionadas, ordem e horário previsto.</x:v>
      </x:c>
      <x:c r="D35" s="20" t="str">
        <x:v>ST06.2</x:v>
      </x:c>
      <x:c r="E35" s="20" t="str">
        <x:v>HU06</x:v>
      </x:c>
      <x:c r="F35" s="20" t="str"/>
      <x:c r="G35" s="20" t="str">
        <x:v>Alta</x:v>
      </x:c>
      <x:c r="H35" s="20" t="str">
        <x:v>Análise</x:v>
      </x:c>
      <x:c r="I35" s="20" t="str"/>
      <x:c r="J35" s="20" t="str">
        <x:v>A fazer</x:v>
      </x:c>
    </x:row>
    <x:row r="36" ht="40" customHeight="1">
      <x:c r="A36" s="20" t="str">
        <x:v>Subtarefa</x:v>
      </x:c>
      <x:c r="B36" s="20" t="str">
        <x:v>ST06.3 — Criar API de configuração e consulta</x:v>
      </x:c>
      <x:c r="C36" s="20" t="str">
        <x:v>salvar e recuperar rotas de uma data no PostgreSQL.</x:v>
      </x:c>
      <x:c r="D36" s="20" t="str">
        <x:v>ST06.3</x:v>
      </x:c>
      <x:c r="E36" s="20" t="str">
        <x:v>HU06</x:v>
      </x:c>
      <x:c r="F36" s="20" t="str"/>
      <x:c r="G36" s="20" t="str">
        <x:v>Alta</x:v>
      </x:c>
      <x:c r="H36" s="20" t="str">
        <x:v>Backend</x:v>
      </x:c>
      <x:c r="I36" s="20" t="str"/>
      <x:c r="J36" s="20" t="str">
        <x:v>A fazer</x:v>
      </x:c>
    </x:row>
    <x:row r="37" ht="40" customHeight="1">
      <x:c r="A37" s="20" t="str">
        <x:v>Subtarefa</x:v>
      </x:c>
      <x:c r="B37" s="20" t="str">
        <x:v>ST06.4 — Desenvolver tela de configuração</x:v>
      </x:c>
      <x:c r="C37" s="20" t="str">
        <x:v>selecionar data, ônibus, universidades, ordem e horário previsto.</x:v>
      </x:c>
      <x:c r="D37" s="20" t="str">
        <x:v>ST06.4</x:v>
      </x:c>
      <x:c r="E37" s="20" t="str">
        <x:v>HU06</x:v>
      </x:c>
      <x:c r="F37" s="20" t="str"/>
      <x:c r="G37" s="20" t="str">
        <x:v>Alta</x:v>
      </x:c>
      <x:c r="H37" s="20" t="str">
        <x:v>Frontend</x:v>
      </x:c>
      <x:c r="I37" s="20" t="str"/>
      <x:c r="J37" s="20" t="str">
        <x:v>A fazer</x:v>
      </x:c>
    </x:row>
    <x:row r="38" ht="40" customHeight="1">
      <x:c r="A38" s="20" t="str">
        <x:v>Subtarefa</x:v>
      </x:c>
      <x:c r="B38" s="20" t="str">
        <x:v>ST06.5 — Integrar formulário e API</x:v>
      </x:c>
      <x:c r="C38" s="20" t="str">
        <x:v>persistir e recuperar a configuração registrada.</x:v>
      </x:c>
      <x:c r="D38" s="20" t="str">
        <x:v>ST06.5</x:v>
      </x:c>
      <x:c r="E38" s="20" t="str">
        <x:v>HU06</x:v>
      </x:c>
      <x:c r="F38" s="20" t="str"/>
      <x:c r="G38" s="20" t="str">
        <x:v>Alta</x:v>
      </x:c>
      <x:c r="H38" s="20" t="str">
        <x:v>Frontend</x:v>
      </x:c>
      <x:c r="I38" s="20" t="str"/>
      <x:c r="J38" s="20" t="str">
        <x:v>A fazer</x:v>
      </x:c>
    </x:row>
    <x:row r="39" ht="40" customHeight="1">
      <x:c r="A39" s="20" t="str">
        <x:v>Subtarefa</x:v>
      </x:c>
      <x:c r="B39" s="20" t="str">
        <x:v>ST06.6 — Testar configuração diária</x:v>
      </x:c>
      <x:c r="C39" s="20" t="str">
        <x:v>verificar salvamento, consulta, campos inválidos e isolamento entre datas.</x:v>
      </x:c>
      <x:c r="D39" s="20" t="str">
        <x:v>ST06.6</x:v>
      </x:c>
      <x:c r="E39" s="20" t="str">
        <x:v>HU06</x:v>
      </x:c>
      <x:c r="F39" s="20" t="str"/>
      <x:c r="G39" s="20" t="str">
        <x:v>Alta</x:v>
      </x:c>
      <x:c r="H39" s="20" t="str">
        <x:v>Testes</x:v>
      </x:c>
      <x:c r="I39" s="20" t="str"/>
      <x:c r="J39" s="20" t="str">
        <x:v>A fazer</x:v>
      </x:c>
    </x:row>
    <x:row r="40" ht="40" customHeight="1">
      <x:c r="A40" s="20" t="str">
        <x:v>Subtarefa</x:v>
      </x:c>
      <x:c r="B40" s="20" t="str">
        <x:v>ST07.1 — Definir regras de redistribuição</x:v>
      </x:c>
      <x:c r="C40" s="20" t="str">
        <x:v>decidir como tratar universidades compartilhadas entre veículos na mesma data e conflitos de configuração.</x:v>
      </x:c>
      <x:c r="D40" s="20" t="str">
        <x:v>ST07.1</x:v>
      </x:c>
      <x:c r="E40" s="20" t="str">
        <x:v>HU07</x:v>
      </x:c>
      <x:c r="F40" s="20" t="str"/>
      <x:c r="G40" s="20" t="str">
        <x:v>Alta</x:v>
      </x:c>
      <x:c r="H40" s="20" t="str">
        <x:v>Análise</x:v>
      </x:c>
      <x:c r="I40" s="20" t="str"/>
      <x:c r="J40" s="20" t="str">
        <x:v>A fazer</x:v>
      </x:c>
    </x:row>
    <x:row r="41" ht="40" customHeight="1">
      <x:c r="A41" s="20" t="str">
        <x:v>Subtarefa</x:v>
      </x:c>
      <x:c r="B41" s="20" t="str">
        <x:v>ST07.2 — Implementar atualização transacional</x:v>
      </x:c>
      <x:c r="C41" s="20" t="str">
        <x:v>modificar as associações das universidades entre configurações de veículos, evitando alterações parciais.</x:v>
      </x:c>
      <x:c r="D41" s="20" t="str">
        <x:v>ST07.2</x:v>
      </x:c>
      <x:c r="E41" s="20" t="str">
        <x:v>HU07</x:v>
      </x:c>
      <x:c r="F41" s="20" t="str"/>
      <x:c r="G41" s="20" t="str">
        <x:v>Alta</x:v>
      </x:c>
      <x:c r="H41" s="20" t="str">
        <x:v>Backend</x:v>
      </x:c>
      <x:c r="I41" s="20" t="str"/>
      <x:c r="J41" s="20" t="str">
        <x:v>A fazer</x:v>
      </x:c>
    </x:row>
    <x:row r="42" ht="40" customHeight="1">
      <x:c r="A42" s="20" t="str">
        <x:v>Subtarefa</x:v>
      </x:c>
      <x:c r="B42" s="20" t="str">
        <x:v>ST07.3 — Validar ordem e integridade</x:v>
      </x:c>
      <x:c r="C42" s="20" t="str">
        <x:v>garantir sequência consistente e preservar configurações de outras datas.</x:v>
      </x:c>
      <x:c r="D42" s="20" t="str">
        <x:v>ST07.3</x:v>
      </x:c>
      <x:c r="E42" s="20" t="str">
        <x:v>HU07</x:v>
      </x:c>
      <x:c r="F42" s="20" t="str"/>
      <x:c r="G42" s="20" t="str">
        <x:v>Alta</x:v>
      </x:c>
      <x:c r="H42" s="20" t="str">
        <x:v>Integração</x:v>
      </x:c>
      <x:c r="I42" s="20" t="str"/>
      <x:c r="J42" s="20" t="str">
        <x:v>A fazer</x:v>
      </x:c>
    </x:row>
    <x:row r="43" ht="40" customHeight="1">
      <x:c r="A43" s="20" t="str">
        <x:v>Subtarefa</x:v>
      </x:c>
      <x:c r="B43" s="20" t="str">
        <x:v>ST07.4 — Criar interface de redistribuição</x:v>
      </x:c>
      <x:c r="C43" s="20" t="str">
        <x:v>permitir remover, adicionar e reordenar universidades entre ônibus.</x:v>
      </x:c>
      <x:c r="D43" s="20" t="str">
        <x:v>ST07.4</x:v>
      </x:c>
      <x:c r="E43" s="20" t="str">
        <x:v>HU07</x:v>
      </x:c>
      <x:c r="F43" s="20" t="str"/>
      <x:c r="G43" s="20" t="str">
        <x:v>Alta</x:v>
      </x:c>
      <x:c r="H43" s="20" t="str">
        <x:v>Frontend</x:v>
      </x:c>
      <x:c r="I43" s="20" t="str"/>
      <x:c r="J43" s="20" t="str">
        <x:v>A fazer</x:v>
      </x:c>
    </x:row>
    <x:row r="44" ht="40" customHeight="1">
      <x:c r="A44" s="20" t="str">
        <x:v>Subtarefa</x:v>
      </x:c>
      <x:c r="B44" s="20" t="str">
        <x:v>ST07.5 — Integrar interface e API</x:v>
      </x:c>
      <x:c r="C44" s="20" t="str">
        <x:v>salvar alterações e atualizar a visualização.</x:v>
      </x:c>
      <x:c r="D44" s="20" t="str">
        <x:v>ST07.5</x:v>
      </x:c>
      <x:c r="E44" s="20" t="str">
        <x:v>HU07</x:v>
      </x:c>
      <x:c r="F44" s="20" t="str"/>
      <x:c r="G44" s="20" t="str">
        <x:v>Alta</x:v>
      </x:c>
      <x:c r="H44" s="20" t="str">
        <x:v>Frontend</x:v>
      </x:c>
      <x:c r="I44" s="20" t="str"/>
      <x:c r="J44" s="20" t="str">
        <x:v>A fazer</x:v>
      </x:c>
    </x:row>
    <x:row r="45" ht="40" customHeight="1">
      <x:c r="A45" s="20" t="str">
        <x:v>Subtarefa</x:v>
      </x:c>
      <x:c r="B45" s="20" t="str">
        <x:v>ST07.6 — Testar redistribuição</x:v>
      </x:c>
      <x:c r="C45" s="20" t="str">
        <x:v>verificar mudança entre ônibus, persistência, conflitos e preservação do histórico por data.</x:v>
      </x:c>
      <x:c r="D45" s="20" t="str">
        <x:v>ST07.6</x:v>
      </x:c>
      <x:c r="E45" s="20" t="str">
        <x:v>HU07</x:v>
      </x:c>
      <x:c r="F45" s="20" t="str"/>
      <x:c r="G45" s="20" t="str">
        <x:v>Alta</x:v>
      </x:c>
      <x:c r="H45" s="20" t="str">
        <x:v>Testes</x:v>
      </x:c>
      <x:c r="I45" s="20" t="str"/>
      <x:c r="J45" s="20" t="str">
        <x:v>A fazer</x:v>
      </x:c>
    </x:row>
    <x:row r="46" ht="40" customHeight="1">
      <x:c r="A46" s="20" t="str">
        <x:v>Subtarefa</x:v>
      </x:c>
      <x:c r="B46" s="20" t="str">
        <x:v>ST08.1 — Definir consulta por data e universidade</x:v>
      </x:c>
      <x:c r="C46" s="20" t="str">
        <x:v>estabelecer como o sistema identifica o ônibus que atende a instituição do universitário.</x:v>
      </x:c>
      <x:c r="D46" s="20" t="str">
        <x:v>ST08.1</x:v>
      </x:c>
      <x:c r="E46" s="20" t="str">
        <x:v>HU08</x:v>
      </x:c>
      <x:c r="F46" s="20" t="str"/>
      <x:c r="G46" s="20" t="str">
        <x:v>Alta</x:v>
      </x:c>
      <x:c r="H46" s="20" t="str">
        <x:v>Análise</x:v>
      </x:c>
      <x:c r="I46" s="20" t="str"/>
      <x:c r="J46" s="20" t="str">
        <x:v>A fazer</x:v>
      </x:c>
    </x:row>
    <x:row r="47" ht="40" customHeight="1">
      <x:c r="A47" s="20" t="str">
        <x:v>Subtarefa</x:v>
      </x:c>
      <x:c r="B47" s="20" t="str">
        <x:v>ST08.2 — Criar API de consulta</x:v>
      </x:c>
      <x:c r="C47" s="20" t="str">
        <x:v>retornar veículo, universidades e ordem de atendimento da configuração da data.</x:v>
      </x:c>
      <x:c r="D47" s="20" t="str">
        <x:v>ST08.2</x:v>
      </x:c>
      <x:c r="E47" s="20" t="str">
        <x:v>HU08</x:v>
      </x:c>
      <x:c r="F47" s="20" t="str"/>
      <x:c r="G47" s="20" t="str">
        <x:v>Alta</x:v>
      </x:c>
      <x:c r="H47" s="20" t="str">
        <x:v>Backend</x:v>
      </x:c>
      <x:c r="I47" s="20" t="str"/>
      <x:c r="J47" s="20" t="str">
        <x:v>A fazer</x:v>
      </x:c>
    </x:row>
    <x:row r="48" ht="40" customHeight="1">
      <x:c r="A48" s="20" t="str">
        <x:v>Subtarefa</x:v>
      </x:c>
      <x:c r="B48" s="20" t="str">
        <x:v>ST08.3 — Desenvolver tela de consulta</x:v>
      </x:c>
      <x:c r="C48" s="20" t="str">
        <x:v>exibir rota do dia de forma clara e responsiva.</x:v>
      </x:c>
      <x:c r="D48" s="20" t="str">
        <x:v>ST08.3</x:v>
      </x:c>
      <x:c r="E48" s="20" t="str">
        <x:v>HU08</x:v>
      </x:c>
      <x:c r="F48" s="20" t="str"/>
      <x:c r="G48" s="20" t="str">
        <x:v>Alta</x:v>
      </x:c>
      <x:c r="H48" s="20" t="str">
        <x:v>Frontend</x:v>
      </x:c>
      <x:c r="I48" s="20" t="str"/>
      <x:c r="J48" s="20" t="str">
        <x:v>A fazer</x:v>
      </x:c>
    </x:row>
    <x:row r="49" ht="40" customHeight="1">
      <x:c r="A49" s="20" t="str">
        <x:v>Subtarefa</x:v>
      </x:c>
      <x:c r="B49" s="20" t="str">
        <x:v>ST08.4 — Tratar ausência de rota</x:v>
      </x:c>
      <x:c r="C49" s="20" t="str">
        <x:v>mostrar mensagem apropriada quando não houver configuração.</x:v>
      </x:c>
      <x:c r="D49" s="20" t="str">
        <x:v>ST08.4</x:v>
      </x:c>
      <x:c r="E49" s="20" t="str">
        <x:v>HU08</x:v>
      </x:c>
      <x:c r="F49" s="20" t="str"/>
      <x:c r="G49" s="20" t="str">
        <x:v>Alta</x:v>
      </x:c>
      <x:c r="H49" s="20" t="str">
        <x:v>Backend</x:v>
      </x:c>
      <x:c r="I49" s="20" t="str"/>
      <x:c r="J49" s="20" t="str">
        <x:v>A fazer</x:v>
      </x:c>
    </x:row>
    <x:row r="50" ht="40" customHeight="1">
      <x:c r="A50" s="20" t="str">
        <x:v>Subtarefa</x:v>
      </x:c>
      <x:c r="B50" s="20" t="str">
        <x:v>ST08.5 — Integrar e testar</x:v>
      </x:c>
      <x:c r="C50" s="20" t="str">
        <x:v>verificar consulta por data e atualização após alterações administrativas.</x:v>
      </x:c>
      <x:c r="D50" s="20" t="str">
        <x:v>ST08.5</x:v>
      </x:c>
      <x:c r="E50" s="20" t="str">
        <x:v>HU08</x:v>
      </x:c>
      <x:c r="F50" s="20" t="str"/>
      <x:c r="G50" s="20" t="str">
        <x:v>Alta</x:v>
      </x:c>
      <x:c r="H50" s="20" t="str">
        <x:v>Testes</x:v>
      </x:c>
      <x:c r="I50" s="20" t="str"/>
      <x:c r="J50" s="20" t="str">
        <x:v>A fazer</x:v>
      </x:c>
    </x:row>
    <x:row r="51" ht="40" customHeight="1">
      <x:c r="A51" s="20" t="str">
        <x:v>Subtarefa</x:v>
      </x:c>
      <x:c r="B51" s="20" t="str">
        <x:v>ST09.1 — Modelar horário previsto</x:v>
      </x:c>
      <x:c r="C51" s="20" t="str">
        <x:v>associar o horário à configuração de rota da data.</x:v>
      </x:c>
      <x:c r="D51" s="20" t="str">
        <x:v>ST09.1</x:v>
      </x:c>
      <x:c r="E51" s="20" t="str">
        <x:v>HU09</x:v>
      </x:c>
      <x:c r="F51" s="20" t="str"/>
      <x:c r="G51" s="20" t="str">
        <x:v>Alta</x:v>
      </x:c>
      <x:c r="H51" s="20" t="str">
        <x:v>Banco de Dados</x:v>
      </x:c>
      <x:c r="I51" s="20" t="str"/>
      <x:c r="J51" s="20" t="str">
        <x:v>A fazer</x:v>
      </x:c>
    </x:row>
    <x:row r="52" ht="40" customHeight="1">
      <x:c r="A52" s="20" t="str">
        <x:v>Subtarefa</x:v>
      </x:c>
      <x:c r="B52" s="20" t="str">
        <x:v>ST09.2 — Criar consulta de horário na API</x:v>
      </x:c>
      <x:c r="C52" s="20" t="str">
        <x:v>retornar o horário previsto correspondente à rota consultada.</x:v>
      </x:c>
      <x:c r="D52" s="20" t="str">
        <x:v>ST09.2</x:v>
      </x:c>
      <x:c r="E52" s="20" t="str">
        <x:v>HU09</x:v>
      </x:c>
      <x:c r="F52" s="20" t="str"/>
      <x:c r="G52" s="20" t="str">
        <x:v>Alta</x:v>
      </x:c>
      <x:c r="H52" s="20" t="str">
        <x:v>Backend</x:v>
      </x:c>
      <x:c r="I52" s="20" t="str"/>
      <x:c r="J52" s="20" t="str">
        <x:v>A fazer</x:v>
      </x:c>
    </x:row>
    <x:row r="53" ht="40" customHeight="1">
      <x:c r="A53" s="20" t="str">
        <x:v>Subtarefa</x:v>
      </x:c>
      <x:c r="B53" s="20" t="str">
        <x:v>ST09.3 — Exibir horário na interface</x:v>
      </x:c>
      <x:c r="C53" s="20" t="str">
        <x:v>apresentar o horário planejado com identificação da data/rota.</x:v>
      </x:c>
      <x:c r="D53" s="20" t="str">
        <x:v>ST09.3</x:v>
      </x:c>
      <x:c r="E53" s="20" t="str">
        <x:v>HU09</x:v>
      </x:c>
      <x:c r="F53" s="20" t="str"/>
      <x:c r="G53" s="20" t="str">
        <x:v>Alta</x:v>
      </x:c>
      <x:c r="H53" s="20" t="str">
        <x:v>Frontend</x:v>
      </x:c>
      <x:c r="I53" s="20" t="str"/>
      <x:c r="J53" s="20" t="str">
        <x:v>A fazer</x:v>
      </x:c>
    </x:row>
    <x:row r="54" ht="40" customHeight="1">
      <x:c r="A54" s="20" t="str">
        <x:v>Subtarefa</x:v>
      </x:c>
      <x:c r="B54" s="20" t="str">
        <x:v>ST09.4 — Integrar atualizações</x:v>
      </x:c>
      <x:c r="C54" s="20" t="str">
        <x:v>refletir alterações administrativas na consulta seguinte.</x:v>
      </x:c>
      <x:c r="D54" s="20" t="str">
        <x:v>ST09.4</x:v>
      </x:c>
      <x:c r="E54" s="20" t="str">
        <x:v>HU09</x:v>
      </x:c>
      <x:c r="F54" s="20" t="str"/>
      <x:c r="G54" s="20" t="str">
        <x:v>Alta</x:v>
      </x:c>
      <x:c r="H54" s="20" t="str">
        <x:v>Integração</x:v>
      </x:c>
      <x:c r="I54" s="20" t="str"/>
      <x:c r="J54" s="20" t="str">
        <x:v>A fazer</x:v>
      </x:c>
    </x:row>
    <x:row r="55" ht="40" customHeight="1">
      <x:c r="A55" s="20" t="str">
        <x:v>Subtarefa</x:v>
      </x:c>
      <x:c r="B55" s="20" t="str">
        <x:v>ST09.5 — Testar horários</x:v>
      </x:c>
      <x:c r="C55" s="20" t="str">
        <x:v>verificar horário existente, ausente e atualizado, sem confundir previsão com atraso real.</x:v>
      </x:c>
      <x:c r="D55" s="20" t="str">
        <x:v>ST09.5</x:v>
      </x:c>
      <x:c r="E55" s="20" t="str">
        <x:v>HU09</x:v>
      </x:c>
      <x:c r="F55" s="20" t="str"/>
      <x:c r="G55" s="20" t="str">
        <x:v>Alta</x:v>
      </x:c>
      <x:c r="H55" s="20" t="str">
        <x:v>Testes</x:v>
      </x:c>
      <x:c r="I55" s="20" t="str"/>
      <x:c r="J55" s="20" t="str">
        <x:v>A fazer</x:v>
      </x:c>
    </x:row>
    <x:row r="56" ht="40" customHeight="1">
      <x:c r="A56" s="20" t="str">
        <x:v>Subtarefa</x:v>
      </x:c>
      <x:c r="B56" s="20" t="str">
        <x:v>ST10.1 — Modelar avisos</x:v>
      </x:c>
      <x:c r="C56" s="20" t="str">
        <x:v>definir título, mensagem, autor e data de publicação.</x:v>
      </x:c>
      <x:c r="D56" s="20" t="str">
        <x:v>ST10.1</x:v>
      </x:c>
      <x:c r="E56" s="20" t="str">
        <x:v>HU10</x:v>
      </x:c>
      <x:c r="F56" s="20" t="str"/>
      <x:c r="G56" s="20" t="str">
        <x:v>Média</x:v>
      </x:c>
      <x:c r="H56" s="20" t="str">
        <x:v>Banco de Dados</x:v>
      </x:c>
      <x:c r="I56" s="20" t="str"/>
      <x:c r="J56" s="20" t="str">
        <x:v>A fazer</x:v>
      </x:c>
    </x:row>
    <x:row r="57" ht="40" customHeight="1">
      <x:c r="A57" s="20" t="str">
        <x:v>Subtarefa</x:v>
      </x:c>
      <x:c r="B57" s="20" t="str">
        <x:v>ST10.2 — Criar API de publicação e consulta</x:v>
      </x:c>
      <x:c r="C57" s="20" t="str">
        <x:v>permitir publicação por administrador e leitura pelos perfis autorizados.</x:v>
      </x:c>
      <x:c r="D57" s="20" t="str">
        <x:v>ST10.2</x:v>
      </x:c>
      <x:c r="E57" s="20" t="str">
        <x:v>HU10</x:v>
      </x:c>
      <x:c r="F57" s="20" t="str"/>
      <x:c r="G57" s="20" t="str">
        <x:v>Média</x:v>
      </x:c>
      <x:c r="H57" s="20" t="str">
        <x:v>Backend</x:v>
      </x:c>
      <x:c r="I57" s="20" t="str"/>
      <x:c r="J57" s="20" t="str">
        <x:v>A fazer</x:v>
      </x:c>
    </x:row>
    <x:row r="58" ht="40" customHeight="1">
      <x:c r="A58" s="20" t="str">
        <x:v>Subtarefa</x:v>
      </x:c>
      <x:c r="B58" s="20" t="str">
        <x:v>ST10.3 — Validar conteúdo e permissões</x:v>
      </x:c>
      <x:c r="C58" s="20" t="str">
        <x:v>exigir campos necessários e impedir publicação não autorizada.</x:v>
      </x:c>
      <x:c r="D58" s="20" t="str">
        <x:v>ST10.3</x:v>
      </x:c>
      <x:c r="E58" s="20" t="str">
        <x:v>HU10</x:v>
      </x:c>
      <x:c r="F58" s="20" t="str"/>
      <x:c r="G58" s="20" t="str">
        <x:v>Média</x:v>
      </x:c>
      <x:c r="H58" s="20" t="str">
        <x:v>Backend</x:v>
      </x:c>
      <x:c r="I58" s="20" t="str"/>
      <x:c r="J58" s="20" t="str">
        <x:v>A fazer</x:v>
      </x:c>
    </x:row>
    <x:row r="59" ht="40" customHeight="1">
      <x:c r="A59" s="20" t="str">
        <x:v>Subtarefa</x:v>
      </x:c>
      <x:c r="B59" s="20" t="str">
        <x:v>ST10.4 — Criar telas de publicação e leitura</x:v>
      </x:c>
      <x:c r="C59" s="20" t="str">
        <x:v>formulário administrativo e listagem de avisos.</x:v>
      </x:c>
      <x:c r="D59" s="20" t="str">
        <x:v>ST10.4</x:v>
      </x:c>
      <x:c r="E59" s="20" t="str">
        <x:v>HU10</x:v>
      </x:c>
      <x:c r="F59" s="20" t="str"/>
      <x:c r="G59" s="20" t="str">
        <x:v>Média</x:v>
      </x:c>
      <x:c r="H59" s="20" t="str">
        <x:v>Frontend</x:v>
      </x:c>
      <x:c r="I59" s="20" t="str"/>
      <x:c r="J59" s="20" t="str">
        <x:v>A fazer</x:v>
      </x:c>
    </x:row>
    <x:row r="60" ht="40" customHeight="1">
      <x:c r="A60" s="20" t="str">
        <x:v>Subtarefa</x:v>
      </x:c>
      <x:c r="B60" s="20" t="str">
        <x:v>ST10.5 — Integrar frontend e API</x:v>
      </x:c>
      <x:c r="C60" s="20" t="str">
        <x:v>publicar e consultar avisos persistidos.</x:v>
      </x:c>
      <x:c r="D60" s="20" t="str">
        <x:v>ST10.5</x:v>
      </x:c>
      <x:c r="E60" s="20" t="str">
        <x:v>HU10</x:v>
      </x:c>
      <x:c r="F60" s="20" t="str"/>
      <x:c r="G60" s="20" t="str">
        <x:v>Média</x:v>
      </x:c>
      <x:c r="H60" s="20" t="str">
        <x:v>Integração</x:v>
      </x:c>
      <x:c r="I60" s="20" t="str"/>
      <x:c r="J60" s="20" t="str">
        <x:v>A fazer</x:v>
      </x:c>
    </x:row>
    <x:row r="61" ht="40" customHeight="1">
      <x:c r="A61" s="20" t="str">
        <x:v>Subtarefa</x:v>
      </x:c>
      <x:c r="B61" s="20" t="str">
        <x:v>ST10.6 — Testar avisos</x:v>
      </x:c>
      <x:c r="C61" s="20" t="str">
        <x:v>verificar permissões, persistência após reinício e exibição correta.</x:v>
      </x:c>
      <x:c r="D61" s="20" t="str">
        <x:v>ST10.6</x:v>
      </x:c>
      <x:c r="E61" s="20" t="str">
        <x:v>HU10</x:v>
      </x:c>
      <x:c r="F61" s="20" t="str"/>
      <x:c r="G61" s="20" t="str">
        <x:v>Média</x:v>
      </x:c>
      <x:c r="H61" s="20" t="str">
        <x:v>Testes</x:v>
      </x:c>
      <x:c r="I61" s="20" t="str"/>
      <x:c r="J61" s="20" t="str">
        <x:v>A fazer</x:v>
      </x:c>
    </x:row>
    <x:row r="62" ht="40" customHeight="1">
      <x:c r="A62" s="20" t="str">
        <x:v>Subtarefa</x:v>
      </x:c>
      <x:c r="B62" s="20" t="str">
        <x:v>ST11.1 — Modelar ocorrências</x:v>
      </x:c>
      <x:c r="C62" s="20" t="str">
        <x:v>definir motorista, rota/configuração atribuída, data, tipo e descrição.</x:v>
      </x:c>
      <x:c r="D62" s="20" t="str">
        <x:v>ST11.1</x:v>
      </x:c>
      <x:c r="E62" s="20" t="str">
        <x:v>HU11</x:v>
      </x:c>
      <x:c r="F62" s="20" t="str"/>
      <x:c r="G62" s="20" t="str">
        <x:v>Média</x:v>
      </x:c>
      <x:c r="H62" s="20" t="str">
        <x:v>Banco de Dados</x:v>
      </x:c>
      <x:c r="I62" s="20" t="str"/>
      <x:c r="J62" s="20" t="str">
        <x:v>A fazer</x:v>
      </x:c>
    </x:row>
    <x:row r="63" ht="40" customHeight="1">
      <x:c r="A63" s="20" t="str">
        <x:v>Subtarefa</x:v>
      </x:c>
      <x:c r="B63" s="20" t="str">
        <x:v>ST11.2 — Definir vínculo do motorista à rota</x:v>
      </x:c>
      <x:c r="C63" s="20" t="str">
        <x:v>especificar como comprovar que a rota pertence ao motorista naquela data.</x:v>
      </x:c>
      <x:c r="D63" s="20" t="str">
        <x:v>ST11.2</x:v>
      </x:c>
      <x:c r="E63" s="20" t="str">
        <x:v>HU11</x:v>
      </x:c>
      <x:c r="F63" s="20" t="str"/>
      <x:c r="G63" s="20" t="str">
        <x:v>Média</x:v>
      </x:c>
      <x:c r="H63" s="20" t="str">
        <x:v>Análise</x:v>
      </x:c>
      <x:c r="I63" s="20" t="str"/>
      <x:c r="J63" s="20" t="str">
        <x:v>A fazer</x:v>
      </x:c>
    </x:row>
    <x:row r="64" ht="40" customHeight="1">
      <x:c r="A64" s="20" t="str">
        <x:v>Subtarefa</x:v>
      </x:c>
      <x:c r="B64" s="20" t="str">
        <x:v>ST11.3 — Criar API de registro e consulta</x:v>
      </x:c>
      <x:c r="C64" s="20" t="str">
        <x:v>permitir registro pelo motorista e consulta pelo administrador.</x:v>
      </x:c>
      <x:c r="D64" s="20" t="str">
        <x:v>ST11.3</x:v>
      </x:c>
      <x:c r="E64" s="20" t="str">
        <x:v>HU11</x:v>
      </x:c>
      <x:c r="F64" s="20" t="str"/>
      <x:c r="G64" s="20" t="str">
        <x:v>Média</x:v>
      </x:c>
      <x:c r="H64" s="20" t="str">
        <x:v>Backend</x:v>
      </x:c>
      <x:c r="I64" s="20" t="str"/>
      <x:c r="J64" s="20" t="str">
        <x:v>A fazer</x:v>
      </x:c>
    </x:row>
    <x:row r="65" ht="40" customHeight="1">
      <x:c r="A65" s="20" t="str">
        <x:v>Subtarefa</x:v>
      </x:c>
      <x:c r="B65" s="20" t="str">
        <x:v>ST11.4 — Validar ocorrência e autorização</x:v>
      </x:c>
      <x:c r="C65" s="20" t="str">
        <x:v>verificar campos, vínculo e impedir alterações automáticas da rota.</x:v>
      </x:c>
      <x:c r="D65" s="20" t="str">
        <x:v>ST11.4</x:v>
      </x:c>
      <x:c r="E65" s="20" t="str">
        <x:v>HU11</x:v>
      </x:c>
      <x:c r="F65" s="20" t="str"/>
      <x:c r="G65" s="20" t="str">
        <x:v>Média</x:v>
      </x:c>
      <x:c r="H65" s="20" t="str">
        <x:v>Backend</x:v>
      </x:c>
      <x:c r="I65" s="20" t="str"/>
      <x:c r="J65" s="20" t="str">
        <x:v>A fazer</x:v>
      </x:c>
    </x:row>
    <x:row r="66" ht="40" customHeight="1">
      <x:c r="A66" s="20" t="str">
        <x:v>Subtarefa</x:v>
      </x:c>
      <x:c r="B66" s="20" t="str">
        <x:v>ST11.5 — Criar telas de registro e acompanhamento</x:v>
      </x:c>
      <x:c r="C66" s="20" t="str">
        <x:v>formulário do motorista e listagem administrativa.</x:v>
      </x:c>
      <x:c r="D66" s="20" t="str">
        <x:v>ST11.5</x:v>
      </x:c>
      <x:c r="E66" s="20" t="str">
        <x:v>HU11</x:v>
      </x:c>
      <x:c r="F66" s="20" t="str"/>
      <x:c r="G66" s="20" t="str">
        <x:v>Média</x:v>
      </x:c>
      <x:c r="H66" s="20" t="str">
        <x:v>Frontend</x:v>
      </x:c>
      <x:c r="I66" s="20" t="str"/>
      <x:c r="J66" s="20" t="str">
        <x:v>A fazer</x:v>
      </x:c>
    </x:row>
    <x:row r="67" ht="40" customHeight="1">
      <x:c r="A67" s="20" t="str">
        <x:v>Subtarefa</x:v>
      </x:c>
      <x:c r="B67" s="20" t="str">
        <x:v>ST11.6 — Integrar e testar</x:v>
      </x:c>
      <x:c r="C67" s="20" t="str">
        <x:v>verificar persistência, perfis, vínculo com a rota e ausência de mudança automática da configuração.</x:v>
      </x:c>
      <x:c r="D67" s="20" t="str">
        <x:v>ST11.6</x:v>
      </x:c>
      <x:c r="E67" s="20" t="str">
        <x:v>HU11</x:v>
      </x:c>
      <x:c r="F67" s="20" t="str"/>
      <x:c r="G67" s="20" t="str">
        <x:v>Média</x:v>
      </x:c>
      <x:c r="H67" s="20" t="str">
        <x:v>Testes</x:v>
      </x:c>
      <x:c r="I67" s="20" t="str"/>
      <x:c r="J67" s="20" t="str">
        <x:v>A fazer</x:v>
      </x:c>
    </x:row>
  </x:sheetData>
  <x:mergeCells>
    <x:mergeCell ref="A1:J1"/>
    <x:mergeCell ref="A2:J2"/>
  </x:mergeCells>
  <x:conditionalFormatting sqref="G5:G67">
    <x:cfRule type="expression" dxfId="0" priority="1">
      <x:formula>G5="Alta"</x:formula>
    </x:cfRule>
  </x:conditionalFormatting>
  <x:conditionalFormatting sqref="J5:J67">
    <x:cfRule type="expression" dxfId="1" priority="2">
      <x:formula>J5="A fazer"</x:formula>
    </x:cfRule>
  </x:conditionalFormatting>
  <x:dataValidations count="2">
    <x:dataValidation type="list" sqref="J5:J67">
      <x:formula1>"A fazer,Em andamento,Concluído,Bloqueado"</x:formula1>
    </x:dataValidation>
    <x:dataValidation type="list" sqref="G5:G67">
      <x:formula1>"Alta,Média,Baixa"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a2e51f882845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7" hidden="0" customWidth="1"/>
  </x:cols>
  <x:sheetData>
    <x:row r="1" ht="32" customHeight="1">
      <x:c r="A1" s="22" t="str">
        <x:v>História de usuário</x:v>
      </x:c>
      <x:c r="B1" s="22" t="str">
        <x:v>Quantidade de subtarefas</x:v>
      </x:c>
      <x:c r="C1" s="22" t="str">
        <x:v>Progresso concluído</x:v>
      </x:c>
    </x:row>
    <x:row r="2" ht="27" customHeight="1">
      <x:c r="A2" t="str">
        <x:v>HU01</x:v>
      </x:c>
      <x:c r="B2" t="n">
        <x:v>6</x:v>
      </x:c>
      <x:c r="C2" s="24" t="n">
        <x:f>IFERROR(COUNTIFS(Subtarefas!E$5:E$67,A2,Subtarefas!J$5:J$67,"Concluído")/B2,0)</x:f>
        <x:v>0</x:v>
      </x:c>
    </x:row>
    <x:row r="3" ht="27" customHeight="1">
      <x:c r="A3" t="str">
        <x:v>HU02</x:v>
      </x:c>
      <x:c r="B3" t="n">
        <x:v>5</x:v>
      </x:c>
      <x:c r="C3" s="24" t="n">
        <x:f>IFERROR(COUNTIFS(Subtarefas!E$5:E$67,A3,Subtarefas!J$5:J$67,"Concluído")/B3,0)</x:f>
        <x:v>0</x:v>
      </x:c>
    </x:row>
    <x:row r="4" ht="27" customHeight="1">
      <x:c r="A4" t="str">
        <x:v>HU03</x:v>
      </x:c>
      <x:c r="B4" t="n">
        <x:v>6</x:v>
      </x:c>
      <x:c r="C4" s="24" t="n">
        <x:f>IFERROR(COUNTIFS(Subtarefas!E$5:E$67,A4,Subtarefas!J$5:J$67,"Concluído")/B4,0)</x:f>
        <x:v>0</x:v>
      </x:c>
    </x:row>
    <x:row r="5" ht="27" customHeight="1">
      <x:c r="A5" t="str">
        <x:v>HU04</x:v>
      </x:c>
      <x:c r="B5" t="n">
        <x:v>6</x:v>
      </x:c>
      <x:c r="C5" s="24" t="n">
        <x:f>IFERROR(COUNTIFS(Subtarefas!E$5:E$67,A5,Subtarefas!J$5:J$67,"Concluído")/B5,0)</x:f>
        <x:v>0</x:v>
      </x:c>
    </x:row>
    <x:row r="6" ht="27" customHeight="1">
      <x:c r="A6" t="str">
        <x:v>HU05</x:v>
      </x:c>
      <x:c r="B6" t="n">
        <x:v>6</x:v>
      </x:c>
      <x:c r="C6" s="24" t="n">
        <x:f>IFERROR(COUNTIFS(Subtarefas!E$5:E$67,A6,Subtarefas!J$5:J$67,"Concluído")/B6,0)</x:f>
        <x:v>0</x:v>
      </x:c>
    </x:row>
    <x:row r="7" ht="27" customHeight="1">
      <x:c r="A7" t="str">
        <x:v>HU06</x:v>
      </x:c>
      <x:c r="B7" t="n">
        <x:v>6</x:v>
      </x:c>
      <x:c r="C7" s="24" t="n">
        <x:f>IFERROR(COUNTIFS(Subtarefas!E$5:E$67,A7,Subtarefas!J$5:J$67,"Concluído")/B7,0)</x:f>
        <x:v>0</x:v>
      </x:c>
    </x:row>
    <x:row r="8" ht="27" customHeight="1">
      <x:c r="A8" t="str">
        <x:v>HU07</x:v>
      </x:c>
      <x:c r="B8" t="n">
        <x:v>6</x:v>
      </x:c>
      <x:c r="C8" s="24" t="n">
        <x:f>IFERROR(COUNTIFS(Subtarefas!E$5:E$67,A8,Subtarefas!J$5:J$67,"Concluído")/B8,0)</x:f>
        <x:v>0</x:v>
      </x:c>
    </x:row>
    <x:row r="9" ht="27" customHeight="1">
      <x:c r="A9" t="str">
        <x:v>HU08</x:v>
      </x:c>
      <x:c r="B9" t="n">
        <x:v>5</x:v>
      </x:c>
      <x:c r="C9" s="24" t="n">
        <x:f>IFERROR(COUNTIFS(Subtarefas!E$5:E$67,A9,Subtarefas!J$5:J$67,"Concluído")/B9,0)</x:f>
        <x:v>0</x:v>
      </x:c>
    </x:row>
    <x:row r="10" ht="27" customHeight="1">
      <x:c r="A10" t="str">
        <x:v>HU09</x:v>
      </x:c>
      <x:c r="B10" t="n">
        <x:v>5</x:v>
      </x:c>
      <x:c r="C10" s="24" t="n">
        <x:f>IFERROR(COUNTIFS(Subtarefas!E$5:E$67,A10,Subtarefas!J$5:J$67,"Concluído")/B10,0)</x:f>
        <x:v>0</x:v>
      </x:c>
    </x:row>
    <x:row r="11" ht="27" customHeight="1">
      <x:c r="A11" t="str">
        <x:v>HU10</x:v>
      </x:c>
      <x:c r="B11" t="n">
        <x:v>6</x:v>
      </x:c>
      <x:c r="C11" s="24" t="n">
        <x:f>IFERROR(COUNTIFS(Subtarefas!E$5:E$67,A11,Subtarefas!J$5:J$67,"Concluído")/B11,0)</x:f>
        <x:v>0</x:v>
      </x:c>
    </x:row>
    <x:row r="12" ht="27" customHeight="1">
      <x:c r="A12" t="str">
        <x:v>HU11</x:v>
      </x:c>
      <x:c r="B12" t="n">
        <x:v>6</x:v>
      </x:c>
      <x:c r="C12" s="24" t="n">
        <x:f>IFERROR(COUNTIFS(Subtarefas!E$5:E$67,A12,Subtarefas!J$5:J$67,"Concluído")/B12,0)</x:f>
        <x:v>0</x:v>
      </x:c>
    </x:row>
  </x:sheetData>
  <x:conditionalFormatting sqref="C2:C12">
    <x:cfRule type="dataBar" priority="1">
      <x:dataBar>
        <x:cfvo type="min"/>
        <x:cfvo type="max"/>
        <x:color rgb="FF1B947C"/>
      </x:dataBar>
      <x:extLst>
        <x:ext xmlns:x14="http://schemas.microsoft.com/office/spreadsheetml/2009/9/main" uri="{B025F937-C7B1-47D3-B67F-A62EFF666E3E}">
          <x14:id>{D7C6A0FF-0453-F3A5-7A99-DB036902C9E6}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abd2fc6f1c6455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7C6A0FF-0453-F3A5-7A99-DB036902C9E6}">
            <x14:dataBar gradient="1">
              <x14:cfvo type="min"/>
              <x14:cfvo type="max"/>
              <x14:fillColor rgb="FF1B947C"/>
            </x14:dataBar>
          </x14:cfRule>
          <xm:sqref>C2:C12</xm:sqref>
        </x14:conditionalFormatting>
      </x14:conditionalFormattings>
    </x:ext>
  </x:extLst>
</x:worksheet>
</file>